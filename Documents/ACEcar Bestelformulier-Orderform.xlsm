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"/>
    </mc:Choice>
  </mc:AlternateContent>
  <xr:revisionPtr revIDLastSave="0" documentId="13_ncr:1_{F5A32864-24B5-426F-B774-B69AB49D7DC2}" xr6:coauthVersionLast="47" xr6:coauthVersionMax="47" xr10:uidLastSave="{00000000-0000-0000-0000-000000000000}"/>
  <bookViews>
    <workbookView showHorizontalScroll="0" showSheetTabs="0" xWindow="-110" yWindow="-110" windowWidth="19420" windowHeight="10300" xr2:uid="{00000000-000D-0000-FFFF-FFFF00000000}"/>
  </bookViews>
  <sheets>
    <sheet name="Orderform" sheetId="1" r:id="rId1"/>
  </sheets>
  <definedNames>
    <definedName name="BTW" localSheetId="0">Orderform!$F$40</definedName>
    <definedName name="Excl" localSheetId="0">Orderform!$H$40</definedName>
    <definedName name="_xlnm.Print_Area" localSheetId="0">Orderform!$A$1:$I$44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" l="1"/>
  <c r="B27" i="1"/>
  <c r="B28" i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26" i="1"/>
  <c r="H26" i="1"/>
  <c r="H27" i="1"/>
  <c r="H28" i="1"/>
  <c r="H29" i="1"/>
  <c r="H30" i="1"/>
  <c r="H31" i="1"/>
  <c r="H33" i="1"/>
  <c r="H34" i="1"/>
  <c r="H35" i="1"/>
  <c r="H36" i="1"/>
  <c r="H37" i="1"/>
  <c r="H38" i="1"/>
  <c r="H32" i="1"/>
  <c r="F102" i="1"/>
  <c r="D13" i="1"/>
  <c r="H40" i="1" l="1"/>
</calcChain>
</file>

<file path=xl/sharedStrings.xml><?xml version="1.0" encoding="utf-8"?>
<sst xmlns="http://schemas.openxmlformats.org/spreadsheetml/2006/main" count="85" uniqueCount="75">
  <si>
    <t>Bestelweb</t>
  </si>
  <si>
    <t>Bestelformulier voor LED / LED Orderform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</si>
  <si>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</si>
  <si>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</si>
  <si>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Aanvraag</t>
  </si>
  <si>
    <t xml:space="preserve">Naam/Name: </t>
  </si>
  <si>
    <t>ACEcar Autonomous racing car</t>
  </si>
  <si>
    <t xml:space="preserve">Datum/Date:      </t>
  </si>
  <si>
    <t xml:space="preserve">Budgethouder:  </t>
  </si>
  <si>
    <t xml:space="preserve">Kostenplaats:   </t>
  </si>
  <si>
    <t xml:space="preserve">Kostensoort:  </t>
  </si>
  <si>
    <t xml:space="preserve">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</si>
  <si>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</si>
  <si>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Leverancier/ Vendor:</t>
  </si>
  <si>
    <t>Saxion</t>
  </si>
  <si>
    <t>Artikelen/Articles/diensten/Services:</t>
  </si>
  <si>
    <t>Nr.</t>
  </si>
  <si>
    <t>Artikelnr.</t>
  </si>
  <si>
    <t>Omschrijving / Description</t>
  </si>
  <si>
    <t>Aantal/Quantity</t>
  </si>
  <si>
    <t>Prijs/stuk (€) Price/unit (€)</t>
  </si>
  <si>
    <r>
      <t>Totaal (</t>
    </r>
    <r>
      <rPr>
        <sz val="9"/>
        <rFont val="Arial"/>
        <family val="2"/>
      </rPr>
      <t>€)</t>
    </r>
  </si>
  <si>
    <t>     </t>
  </si>
  <si>
    <t>Totaal Excl. BTW: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</si>
  <si>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</si>
  <si>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</si>
  <si>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</si>
  <si>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</si>
  <si>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</si>
  <si>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</si>
  <si>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</si>
  <si>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</si>
  <si>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</si>
  <si>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</si>
  <si>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</si>
  <si>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</si>
  <si>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</si>
  <si>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</si>
  <si>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</si>
  <si>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</si>
  <si>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</si>
  <si>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</si>
  <si>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</si>
  <si>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</si>
  <si>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</si>
  <si>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</si>
  <si>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</si>
  <si>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</si>
  <si>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</si>
  <si>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</si>
  <si>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</si>
  <si>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</si>
  <si>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</si>
  <si>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</si>
  <si>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</si>
  <si>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</si>
  <si>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</si>
  <si>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</si>
  <si>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</si>
  <si>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</si>
  <si>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</si>
  <si>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</si>
  <si>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</si>
  <si>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</si>
  <si>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</si>
  <si>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</si>
  <si>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</si>
  <si>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</si>
  <si>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DC-DC Step-down Buck Converter 5A - 5V output</t>
  </si>
  <si>
    <t>Raspberry zero 2 w kit</t>
  </si>
  <si>
    <t>MCP3008 8-chan 10 bit SPI ADC</t>
  </si>
  <si>
    <t xml:space="preserve">8x IR Line Tracking Module </t>
  </si>
  <si>
    <t xml:space="preserve">Raspberry Pi Zero Camera Cable - 15 pin FPC-FFC flex - 15cm </t>
  </si>
  <si>
    <t xml:space="preserve">Raspberry Pi Compatible Camera 5MP V1.3 </t>
  </si>
  <si>
    <t xml:space="preserve">Ultrasonic Sensor - HC-SR04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</si>
</sst>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3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3" xfId="0" applyFont="1" applyBorder="1" applyAlignment="1" applyProtection="1">
      <alignment vertical="top" wrapText="1"/>
      <protection locked="0"/>
    </xf>
    <xf numFmtId="164" fontId="5" fillId="0" borderId="3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Border="1" applyProtection="1">
      <protection locked="0"/>
    </xf>
    <xf numFmtId="14" fontId="5" fillId="0" borderId="2" xfId="0" applyNumberFormat="1" applyFont="1" applyBorder="1" applyAlignment="1">
      <alignment horizontal="left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Border="1" applyAlignment="1" applyProtection="1">
      <alignment horizontal="left"/>
      <protection locked="0"/>
    </xf>
    <xf numFmtId="0" fontId="9" fillId="0" borderId="5" xfId="0" applyFont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4" fillId="0" borderId="5" xfId="0" applyFont="1" applyBorder="1" applyProtection="1">
      <protection locked="0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2" fillId="0" borderId="2" xfId="1" applyBorder="1" applyAlignment="1" applyProtection="1">
      <alignment horizontal="left" vertical="top" wrapText="1"/>
      <protection locked="0"/>
    </xf>
    <xf numFmtId="0" fontId="12" fillId="0" borderId="2" xfId="1" applyBorder="1" applyAlignment="1">
      <alignment horizontal="left" vertical="top" wrapText="1"/>
    </xf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ww.tinytronics.nl/shop/nl/componenten/ic's-en-microcontrollerchips/ic's/mcp3008-8-kanaals-10-bit-adc-chip-spi-16-pin-dip" TargetMode="External"/><Relationship Id="rId7" Type="http://schemas.openxmlformats.org/officeDocument/2006/relationships/hyperlink" Target="https://www.tinytronics.nl/shop/nl/sensoren/afstand/ultrasonische-sensor-hc-sr04" TargetMode="External"/><Relationship Id="rId2" Type="http://schemas.openxmlformats.org/officeDocument/2006/relationships/hyperlink" Target="https://www.kiwi-electronics.nl/nl/raspberry-pi-zero-2-w-basic-pack-10821?language=nl-nl&amp;currency=EUR&amp;gclid=CjwKCAjwuYWSBhByEiwAKd_n_qi1lD7_wb3IXjet1N-EvvWT_kPXmeHg8WBp55UcsAD4HoHmtvs6xRoCdroQAvD_BwE" TargetMode="External"/><Relationship Id="rId1" Type="http://schemas.openxmlformats.org/officeDocument/2006/relationships/hyperlink" Target="https://www.tinytronics.nl/shop/nl/power/spanningsconverters/buck-(step-down)-converters/dc-dc-step-down-buck-converter-5a-5v-output" TargetMode="External"/><Relationship Id="rId6" Type="http://schemas.openxmlformats.org/officeDocument/2006/relationships/hyperlink" Target="https://www.tinytronics.nl/shop/nl/sensoren/optisch/camera's-en-scanners/raspberry-pi-compatible-camera-5mp-v1.3" TargetMode="External"/><Relationship Id="rId5" Type="http://schemas.openxmlformats.org/officeDocument/2006/relationships/hyperlink" Target="https://www.tinytronics.nl/shop/nl/kabels-en-connectoren/kabels-en-adapters/ffc/raspberry-pi-zero-camerakabel-15-pin-fpc-ffc-flex-15cm" TargetMode="External"/><Relationship Id="rId4" Type="http://schemas.openxmlformats.org/officeDocument/2006/relationships/hyperlink" Target="https://www.tinytronics.nl/shop/nl/sensoren/optisch/infrarood/8x-ir-lijn-tracking-module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3" zoomScale="102" zoomScaleNormal="130" workbookViewId="0">
      <selection activeCell="K35" sqref="K35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0</v>
      </c>
      <c r="C5" s="2"/>
      <c r="D5" s="31"/>
      <c r="E5" s="33"/>
    </row>
    <row r="6" spans="2:9" ht="16.75" customHeight="1" x14ac:dyDescent="0.3">
      <c r="B6" s="3" t="s">
        <v>1</v>
      </c>
    </row>
    <row r="7" spans="2:9" ht="16.75" customHeight="1" x14ac:dyDescent="0.25">
      <c r="B7" s="4"/>
    </row>
    <row r="8" spans="2:9" ht="27.4" customHeight="1" x14ac:dyDescent="0.25">
      <c r="B8" s="37" t="s">
        <v>2</v>
      </c>
      <c r="C8" s="37"/>
      <c r="D8" s="37"/>
      <c r="E8" s="37"/>
      <c r="F8" s="37"/>
      <c r="G8" s="37"/>
      <c r="H8" s="37"/>
    </row>
    <row r="9" spans="2:9" ht="27.75" customHeight="1" x14ac:dyDescent="0.25">
      <c r="B9" s="37" t="s">
        <v>3</v>
      </c>
      <c r="C9" s="37"/>
      <c r="D9" s="37"/>
      <c r="E9" s="37"/>
      <c r="F9" s="37"/>
      <c r="G9" s="37"/>
      <c r="H9" s="37"/>
      <c r="I9" s="37"/>
    </row>
    <row r="10" spans="2:9" ht="16.75" customHeight="1" x14ac:dyDescent="0.25">
      <c r="B10" s="4"/>
    </row>
    <row r="11" spans="2:9" ht="16.75" customHeight="1" x14ac:dyDescent="0.25">
      <c r="B11" s="5" t="s">
        <v>4</v>
      </c>
    </row>
    <row r="12" spans="2:9" ht="16.75" customHeight="1" x14ac:dyDescent="0.25">
      <c r="B12" s="4" t="s">
        <v>5</v>
      </c>
      <c r="D12" s="36" t="s">
        <v>6</v>
      </c>
    </row>
    <row r="13" spans="2:9" ht="16.75" customHeight="1" x14ac:dyDescent="0.25">
      <c r="B13" s="4" t="s">
        <v>7</v>
      </c>
      <c r="D13" s="27">
        <f ca="1">+TODAY()</f>
        <v>44648</v>
      </c>
      <c r="E13" s="34"/>
    </row>
    <row r="14" spans="2:9" ht="16.75" customHeight="1" x14ac:dyDescent="0.25">
      <c r="B14" s="4" t="s">
        <v>8</v>
      </c>
      <c r="D14" s="26"/>
      <c r="E14" s="34"/>
    </row>
    <row r="15" spans="2:9" ht="16.75" customHeight="1" x14ac:dyDescent="0.25">
      <c r="B15" s="4" t="s">
        <v>9</v>
      </c>
      <c r="D15" s="28">
        <v>1150375</v>
      </c>
      <c r="E15" s="35"/>
      <c r="F15" s="29"/>
    </row>
    <row r="16" spans="2:9" ht="16.75" customHeight="1" x14ac:dyDescent="0.25">
      <c r="B16" s="4" t="s">
        <v>10</v>
      </c>
      <c r="D16" s="30" t="s">
        <v>11</v>
      </c>
      <c r="E16" s="35"/>
    </row>
    <row r="17" spans="1:8" ht="16.75" customHeight="1" x14ac:dyDescent="0.25">
      <c r="B17" s="4"/>
    </row>
    <row r="18" spans="1:8" ht="16.75" customHeight="1" x14ac:dyDescent="0.25">
      <c r="B18" s="5" t="s">
        <v>12</v>
      </c>
    </row>
    <row r="19" spans="1:8" ht="16.75" customHeight="1" x14ac:dyDescent="0.25">
      <c r="B19" s="5"/>
    </row>
    <row r="20" spans="1:8" ht="25.9" customHeight="1" x14ac:dyDescent="0.3">
      <c r="A20" s="32"/>
      <c r="B20" s="38" t="s">
        <v>13</v>
      </c>
      <c r="C20" s="39"/>
      <c r="D20" s="36" t="s">
        <v>14</v>
      </c>
    </row>
    <row r="21" spans="1:8" ht="16.75" customHeight="1" x14ac:dyDescent="0.25">
      <c r="B21" s="4"/>
    </row>
    <row r="22" spans="1:8" ht="16.75" customHeight="1" x14ac:dyDescent="0.25">
      <c r="B22" s="4" t="s">
        <v>15</v>
      </c>
    </row>
    <row r="23" spans="1:8" ht="16.75" customHeight="1" thickBot="1" x14ac:dyDescent="0.3">
      <c r="B23" s="4"/>
    </row>
    <row r="24" spans="1:8" ht="30" customHeight="1" thickBot="1" x14ac:dyDescent="0.3">
      <c r="B24" s="19" t="s">
        <v>16</v>
      </c>
      <c r="C24" s="20" t="s">
        <v>17</v>
      </c>
      <c r="D24" s="42" t="s">
        <v>18</v>
      </c>
      <c r="E24" s="43"/>
      <c r="F24" s="19" t="s">
        <v>19</v>
      </c>
      <c r="G24" s="19" t="s">
        <v>20</v>
      </c>
      <c r="H24" s="19" t="s">
        <v>21</v>
      </c>
    </row>
    <row r="25" spans="1:8" ht="16.899999999999999" customHeight="1" x14ac:dyDescent="0.25">
      <c r="B25" s="13">
        <v>1</v>
      </c>
      <c r="C25" s="21"/>
      <c r="D25" s="40" t="s">
        <v>68</v>
      </c>
      <c r="E25" s="41"/>
      <c r="F25" s="24">
        <v>1</v>
      </c>
      <c r="G25" s="22">
        <v>2.48</v>
      </c>
      <c r="H25" s="17">
        <f>IF(F25=0,"",+F25*G25)</f>
        <v>2.48</v>
      </c>
    </row>
    <row r="26" spans="1:8" x14ac:dyDescent="0.25">
      <c r="B26" s="9">
        <f>+B25+1</f>
        <v>2</v>
      </c>
      <c r="C26" s="23"/>
      <c r="D26" s="40" t="s">
        <v>69</v>
      </c>
      <c r="E26" s="41"/>
      <c r="F26" s="24">
        <v>1</v>
      </c>
      <c r="G26" s="25">
        <v>30.54</v>
      </c>
      <c r="H26" s="17">
        <f t="shared" ref="H26:H31" si="0">IF(F26=0,"",+F26*G26)</f>
        <v>30.54</v>
      </c>
    </row>
    <row r="27" spans="1:8" x14ac:dyDescent="0.25">
      <c r="B27" s="9">
        <f t="shared" ref="B27:B38" si="1">+B26+1</f>
        <v>3</v>
      </c>
      <c r="C27" s="23" t="s">
        <v>22</v>
      </c>
      <c r="D27" s="40" t="s">
        <v>70</v>
      </c>
      <c r="E27" s="41"/>
      <c r="F27" s="24">
        <v>2</v>
      </c>
      <c r="G27" s="25">
        <v>2.48</v>
      </c>
      <c r="H27" s="17">
        <f t="shared" si="0"/>
        <v>4.96</v>
      </c>
    </row>
    <row r="28" spans="1:8" x14ac:dyDescent="0.25">
      <c r="B28" s="9">
        <f t="shared" si="1"/>
        <v>4</v>
      </c>
      <c r="C28" s="23" t="s">
        <v>22</v>
      </c>
      <c r="D28" s="40" t="s">
        <v>71</v>
      </c>
      <c r="E28" s="41"/>
      <c r="F28" s="24">
        <v>1</v>
      </c>
      <c r="G28" s="25">
        <v>3.72</v>
      </c>
      <c r="H28" s="17">
        <f t="shared" si="0"/>
        <v>3.72</v>
      </c>
    </row>
    <row r="29" spans="1:8" x14ac:dyDescent="0.25">
      <c r="B29" s="9">
        <f t="shared" si="1"/>
        <v>5</v>
      </c>
      <c r="C29" s="23" t="s">
        <v>22</v>
      </c>
      <c r="D29" s="40" t="s">
        <v>72</v>
      </c>
      <c r="E29" s="41"/>
      <c r="F29" s="24">
        <v>1</v>
      </c>
      <c r="G29" s="25">
        <v>2.48</v>
      </c>
      <c r="H29" s="17">
        <f t="shared" si="0"/>
        <v>2.48</v>
      </c>
    </row>
    <row r="30" spans="1:8" x14ac:dyDescent="0.25">
      <c r="B30" s="9">
        <f t="shared" si="1"/>
        <v>6</v>
      </c>
      <c r="C30" s="23" t="s">
        <v>22</v>
      </c>
      <c r="D30" s="40" t="s">
        <v>73</v>
      </c>
      <c r="E30" s="41"/>
      <c r="F30" s="24">
        <v>1</v>
      </c>
      <c r="G30" s="25">
        <v>6.61</v>
      </c>
      <c r="H30" s="17">
        <f t="shared" si="0"/>
        <v>6.61</v>
      </c>
    </row>
    <row r="31" spans="1:8" x14ac:dyDescent="0.25">
      <c r="B31" s="9">
        <f t="shared" si="1"/>
        <v>7</v>
      </c>
      <c r="C31" s="23" t="s">
        <v>22</v>
      </c>
      <c r="D31" s="40" t="s">
        <v>74</v>
      </c>
      <c r="E31" s="41"/>
      <c r="F31" s="24">
        <v>1</v>
      </c>
      <c r="G31" s="25">
        <v>2.48</v>
      </c>
      <c r="H31" s="17">
        <f t="shared" si="0"/>
        <v>2.48</v>
      </c>
    </row>
    <row r="32" spans="1:8" x14ac:dyDescent="0.25">
      <c r="B32" s="9">
        <f t="shared" si="1"/>
        <v>8</v>
      </c>
      <c r="C32" s="23" t="s">
        <v>22</v>
      </c>
      <c r="D32" s="44"/>
      <c r="E32" s="45"/>
      <c r="F32" s="24"/>
      <c r="G32" s="25"/>
      <c r="H32" s="17" t="str">
        <f>IF(F32=0,"",+F32*G32)</f>
        <v/>
      </c>
    </row>
    <row r="33" spans="2:8" x14ac:dyDescent="0.25">
      <c r="B33" s="9">
        <f t="shared" si="1"/>
        <v>9</v>
      </c>
      <c r="C33" s="23" t="s">
        <v>22</v>
      </c>
      <c r="D33" s="44"/>
      <c r="E33" s="45"/>
      <c r="F33" s="24"/>
      <c r="G33" s="25"/>
      <c r="H33" s="17" t="str">
        <f t="shared" ref="H33:H38" si="2">IF(F33=0,"",+F33*G33)</f>
        <v/>
      </c>
    </row>
    <row r="34" spans="2:8" x14ac:dyDescent="0.25">
      <c r="B34" s="9">
        <f t="shared" si="1"/>
        <v>10</v>
      </c>
      <c r="C34" s="23" t="s">
        <v>22</v>
      </c>
      <c r="D34" s="44"/>
      <c r="E34" s="45"/>
      <c r="F34" s="24"/>
      <c r="G34" s="25"/>
      <c r="H34" s="17" t="str">
        <f t="shared" si="2"/>
        <v/>
      </c>
    </row>
    <row r="35" spans="2:8" x14ac:dyDescent="0.25">
      <c r="B35" s="9">
        <f t="shared" si="1"/>
        <v>11</v>
      </c>
      <c r="C35" s="23" t="s">
        <v>22</v>
      </c>
      <c r="D35" s="44"/>
      <c r="E35" s="45"/>
      <c r="F35" s="24"/>
      <c r="G35" s="25"/>
      <c r="H35" s="17" t="str">
        <f t="shared" si="2"/>
        <v/>
      </c>
    </row>
    <row r="36" spans="2:8" x14ac:dyDescent="0.25">
      <c r="B36" s="9">
        <f t="shared" si="1"/>
        <v>12</v>
      </c>
      <c r="C36" s="23" t="s">
        <v>22</v>
      </c>
      <c r="D36" s="44"/>
      <c r="E36" s="45"/>
      <c r="F36" s="24"/>
      <c r="G36" s="25"/>
      <c r="H36" s="17" t="str">
        <f t="shared" si="2"/>
        <v/>
      </c>
    </row>
    <row r="37" spans="2:8" x14ac:dyDescent="0.25">
      <c r="B37" s="9">
        <f t="shared" si="1"/>
        <v>13</v>
      </c>
      <c r="C37" s="23" t="s">
        <v>22</v>
      </c>
      <c r="D37" s="44"/>
      <c r="E37" s="45"/>
      <c r="F37" s="24"/>
      <c r="G37" s="25"/>
      <c r="H37" s="17" t="str">
        <f t="shared" si="2"/>
        <v/>
      </c>
    </row>
    <row r="38" spans="2:8" x14ac:dyDescent="0.25">
      <c r="B38" s="9">
        <f t="shared" si="1"/>
        <v>14</v>
      </c>
      <c r="C38" s="23"/>
      <c r="D38" s="44"/>
      <c r="E38" s="45"/>
      <c r="F38" s="24"/>
      <c r="G38" s="25"/>
      <c r="H38" s="17" t="str">
        <f t="shared" si="2"/>
        <v/>
      </c>
    </row>
    <row r="39" spans="2:8" ht="13" thickBot="1" x14ac:dyDescent="0.3">
      <c r="B39" s="14"/>
      <c r="C39" s="14"/>
      <c r="D39" s="6"/>
      <c r="E39" s="6"/>
      <c r="F39" s="15"/>
      <c r="G39" s="6"/>
      <c r="H39" s="6"/>
    </row>
    <row r="40" spans="2:8" ht="16.75" customHeight="1" thickBot="1" x14ac:dyDescent="0.3">
      <c r="B40" s="10"/>
      <c r="C40" s="10"/>
      <c r="D40" s="7"/>
      <c r="E40" s="7"/>
      <c r="F40" s="16"/>
      <c r="G40" s="11" t="s">
        <v>23</v>
      </c>
      <c r="H40" s="18">
        <f>+SUM(H25:H39)</f>
        <v>53.269999999999989</v>
      </c>
    </row>
    <row r="41" spans="2:8" ht="16.75" customHeight="1" x14ac:dyDescent="0.25">
      <c r="B41" s="4"/>
    </row>
    <row r="42" spans="2:8" ht="16.75" customHeight="1" x14ac:dyDescent="0.25">
      <c r="B42" s="4"/>
    </row>
    <row r="43" spans="2:8" ht="16.75" customHeight="1" x14ac:dyDescent="0.25"/>
    <row r="44" spans="2:8" x14ac:dyDescent="0.25">
      <c r="B44" s="8"/>
    </row>
    <row r="45" spans="2:8" ht="16.75" customHeight="1" x14ac:dyDescent="0.25"/>
    <row r="46" spans="2:8" ht="16.75" customHeight="1" x14ac:dyDescent="0.25">
      <c r="D46" s="12"/>
      <c r="E46" s="12"/>
    </row>
    <row r="47" spans="2:8" ht="16.75" customHeight="1" x14ac:dyDescent="0.25"/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>
      <c r="B59" t="s">
        <v>24</v>
      </c>
      <c r="C59" t="s">
        <v>25</v>
      </c>
    </row>
    <row r="60" spans="2:3" ht="16.75" hidden="1" customHeight="1" x14ac:dyDescent="0.25">
      <c r="B60" t="s">
        <v>26</v>
      </c>
    </row>
    <row r="61" spans="2:3" ht="16.75" hidden="1" customHeight="1" x14ac:dyDescent="0.25">
      <c r="B61" t="s">
        <v>27</v>
      </c>
    </row>
    <row r="62" spans="2:3" ht="16.75" hidden="1" customHeight="1" x14ac:dyDescent="0.25">
      <c r="B62" t="s">
        <v>28</v>
      </c>
    </row>
    <row r="63" spans="2:3" ht="16.75" hidden="1" customHeight="1" x14ac:dyDescent="0.25">
      <c r="B63" t="s">
        <v>29</v>
      </c>
    </row>
    <row r="64" spans="2:3" ht="16.75" hidden="1" customHeight="1" x14ac:dyDescent="0.25">
      <c r="B64" t="s">
        <v>30</v>
      </c>
    </row>
    <row r="65" spans="2:2" ht="16.75" hidden="1" customHeight="1" x14ac:dyDescent="0.25">
      <c r="B65" t="s">
        <v>31</v>
      </c>
    </row>
    <row r="66" spans="2:2" ht="16.75" hidden="1" customHeight="1" x14ac:dyDescent="0.25">
      <c r="B66" t="s">
        <v>32</v>
      </c>
    </row>
    <row r="67" spans="2:2" ht="16.75" hidden="1" customHeight="1" x14ac:dyDescent="0.25">
      <c r="B67" t="s">
        <v>33</v>
      </c>
    </row>
    <row r="68" spans="2:2" ht="16.75" hidden="1" customHeight="1" x14ac:dyDescent="0.25">
      <c r="B68" t="s">
        <v>34</v>
      </c>
    </row>
    <row r="69" spans="2:2" ht="16.75" hidden="1" customHeight="1" x14ac:dyDescent="0.25">
      <c r="B69" t="s">
        <v>35</v>
      </c>
    </row>
    <row r="70" spans="2:2" hidden="1" x14ac:dyDescent="0.25">
      <c r="B70" t="s">
        <v>36</v>
      </c>
    </row>
    <row r="71" spans="2:2" hidden="1" x14ac:dyDescent="0.25">
      <c r="B71" t="s">
        <v>37</v>
      </c>
    </row>
    <row r="72" spans="2:2" hidden="1" x14ac:dyDescent="0.25">
      <c r="B72" t="s">
        <v>38</v>
      </c>
    </row>
    <row r="73" spans="2:2" hidden="1" x14ac:dyDescent="0.25">
      <c r="B73" t="s">
        <v>39</v>
      </c>
    </row>
    <row r="74" spans="2:2" hidden="1" x14ac:dyDescent="0.25">
      <c r="B74" t="s">
        <v>40</v>
      </c>
    </row>
    <row r="75" spans="2:2" hidden="1" x14ac:dyDescent="0.25">
      <c r="B75" t="s">
        <v>41</v>
      </c>
    </row>
    <row r="76" spans="2:2" hidden="1" x14ac:dyDescent="0.25">
      <c r="B76" t="s">
        <v>42</v>
      </c>
    </row>
    <row r="77" spans="2:2" hidden="1" x14ac:dyDescent="0.25">
      <c r="B77" t="s">
        <v>43</v>
      </c>
    </row>
    <row r="78" spans="2:2" hidden="1" x14ac:dyDescent="0.25">
      <c r="B78" t="s">
        <v>44</v>
      </c>
    </row>
    <row r="79" spans="2:2" hidden="1" x14ac:dyDescent="0.25">
      <c r="B79" t="s">
        <v>45</v>
      </c>
    </row>
    <row r="80" spans="2:2" hidden="1" x14ac:dyDescent="0.25">
      <c r="B80" t="s">
        <v>46</v>
      </c>
    </row>
    <row r="81" spans="2:2" hidden="1" x14ac:dyDescent="0.25">
      <c r="B81" t="s">
        <v>47</v>
      </c>
    </row>
    <row r="82" spans="2:2" hidden="1" x14ac:dyDescent="0.25">
      <c r="B82" t="s">
        <v>48</v>
      </c>
    </row>
    <row r="83" spans="2:2" hidden="1" x14ac:dyDescent="0.25">
      <c r="B83" t="s">
        <v>49</v>
      </c>
    </row>
    <row r="84" spans="2:2" hidden="1" x14ac:dyDescent="0.25">
      <c r="B84" t="s">
        <v>50</v>
      </c>
    </row>
    <row r="85" spans="2:2" hidden="1" x14ac:dyDescent="0.25">
      <c r="B85" t="s">
        <v>51</v>
      </c>
    </row>
    <row r="86" spans="2:2" hidden="1" x14ac:dyDescent="0.25">
      <c r="B86" t="s">
        <v>52</v>
      </c>
    </row>
    <row r="87" spans="2:2" hidden="1" x14ac:dyDescent="0.25">
      <c r="B87" t="s">
        <v>53</v>
      </c>
    </row>
    <row r="88" spans="2:2" hidden="1" x14ac:dyDescent="0.25">
      <c r="B88" t="s">
        <v>54</v>
      </c>
    </row>
    <row r="89" spans="2:2" hidden="1" x14ac:dyDescent="0.25">
      <c r="B89" t="s">
        <v>55</v>
      </c>
    </row>
    <row r="90" spans="2:2" hidden="1" x14ac:dyDescent="0.25">
      <c r="B90" t="s">
        <v>56</v>
      </c>
    </row>
    <row r="91" spans="2:2" hidden="1" x14ac:dyDescent="0.25">
      <c r="B91" t="s">
        <v>57</v>
      </c>
    </row>
    <row r="92" spans="2:2" hidden="1" x14ac:dyDescent="0.25">
      <c r="B92" t="s">
        <v>58</v>
      </c>
    </row>
    <row r="93" spans="2:2" hidden="1" x14ac:dyDescent="0.25">
      <c r="B93" t="s">
        <v>59</v>
      </c>
    </row>
    <row r="94" spans="2:2" hidden="1" x14ac:dyDescent="0.25">
      <c r="B94" t="s">
        <v>60</v>
      </c>
    </row>
    <row r="95" spans="2:2" hidden="1" x14ac:dyDescent="0.25">
      <c r="B95" t="s">
        <v>61</v>
      </c>
    </row>
    <row r="96" spans="2:2" hidden="1" x14ac:dyDescent="0.25">
      <c r="B96" t="s">
        <v>62</v>
      </c>
    </row>
    <row r="97" spans="2:6" hidden="1" x14ac:dyDescent="0.25">
      <c r="B97" t="s">
        <v>63</v>
      </c>
    </row>
    <row r="98" spans="2:6" hidden="1" x14ac:dyDescent="0.25">
      <c r="B98" t="s">
        <v>64</v>
      </c>
    </row>
    <row r="99" spans="2:6" hidden="1" x14ac:dyDescent="0.25">
      <c r="B99" t="s">
        <v>65</v>
      </c>
    </row>
    <row r="100" spans="2:6" hidden="1" x14ac:dyDescent="0.25">
      <c r="B100" t="s">
        <v>66</v>
      </c>
    </row>
    <row r="101" spans="2:6" hidden="1" x14ac:dyDescent="0.25">
      <c r="B101" t="s">
        <v>67</v>
      </c>
    </row>
    <row r="102" spans="2:6" hidden="1" x14ac:dyDescent="0.25">
      <c r="F102" t="str">
        <f>+B102&amp;" "&amp;C102</f>
        <v xml:space="preserve"> </v>
      </c>
    </row>
    <row r="103" spans="2:6" hidden="1" x14ac:dyDescent="0.25"/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8">
    <mergeCell ref="D37:E37"/>
    <mergeCell ref="D38:E38"/>
    <mergeCell ref="D31:E31"/>
    <mergeCell ref="D32:E32"/>
    <mergeCell ref="D33:E33"/>
    <mergeCell ref="D34:E34"/>
    <mergeCell ref="D35:E35"/>
    <mergeCell ref="D27:E27"/>
    <mergeCell ref="D28:E28"/>
    <mergeCell ref="D29:E29"/>
    <mergeCell ref="D30:E30"/>
    <mergeCell ref="D36:E36"/>
    <mergeCell ref="B8:H8"/>
    <mergeCell ref="B9:I9"/>
    <mergeCell ref="B20:C20"/>
    <mergeCell ref="D25:E25"/>
    <mergeCell ref="D26:E26"/>
    <mergeCell ref="D24:E24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357" yWindow="349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$B$60:$B$101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:E25" r:id="rId1" display="DC-DC Step-down Buck Converter 5A - 5V output" xr:uid="{A91DEC0C-6272-4C26-A6F5-E02036CC2AAC}"/>
    <hyperlink ref="D26:E26" r:id="rId2" display="Raspberry zero 2 w kit" xr:uid="{1B0504E6-CDDE-4F93-98FF-6FBAF100687E}"/>
    <hyperlink ref="D27:E27" r:id="rId3" display="MCP3008 8-chan 10 bit SPI ADC" xr:uid="{395D27F3-CD10-4CDD-A831-40E187ED9E69}"/>
    <hyperlink ref="D28:E28" r:id="rId4" display="8x IR Line Tracking Module " xr:uid="{9DDB6643-0F41-49BA-8D10-4D5040F4FC27}"/>
    <hyperlink ref="D29:E29" r:id="rId5" display="Raspberry Pi Zero Camera Cable - 15 pin FPC-FFC flex - 15cm " xr:uid="{E131CD17-AFC6-483F-A934-FF83F4A78A35}"/>
    <hyperlink ref="D30:E30" r:id="rId6" display="Raspberry Pi Compatible Camera 5MP V1.3 " xr:uid="{E7D0AE4F-5E69-4BE5-85A5-BC48DA5DCB91}"/>
    <hyperlink ref="D31:E31" r:id="rId7" display="Ultrasonic Sensor - HC-SR04 " xr:uid="{3CE6871F-DDA0-46A0-B295-DB26063697AA}"/>
  </hyperlinks>
  <pageMargins left="0" right="0" top="0.51181102362204722" bottom="7.874015748031496E-2" header="0.51181102362204722" footer="7.874015748031496E-2"/>
  <pageSetup paperSize="9" orientation="portrait" r:id="rId8"/>
  <headerFooter alignWithMargins="0">
    <oddFooter>&amp;L&amp;"Lucida Sans Unicode,Standaard"&amp;6JHE18 - 20110621&amp;R&amp;"Lucida Sans Unicode,Standaard"&amp;7&amp;P/&amp;N</oddFooter>
  </headerFooter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Manager/>
  <Company>Saxion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jhe18</dc:creator>
  <cp:keywords/>
  <dc:description/>
  <cp:lastModifiedBy>Karolis Juozapaitis</cp:lastModifiedBy>
  <cp:revision/>
  <cp:lastPrinted>2022-03-28T20:32:03Z</cp:lastPrinted>
  <dcterms:created xsi:type="dcterms:W3CDTF">2011-04-12T07:50:09Z</dcterms:created>
  <dcterms:modified xsi:type="dcterms:W3CDTF">2022-03-28T20:37:51Z</dcterms:modified>
  <cp:category/>
  <cp:contentStatus/>
</cp:coreProperties>
</file>